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cld\MSDD\"/>
    </mc:Choice>
  </mc:AlternateContent>
  <xr:revisionPtr revIDLastSave="0" documentId="13_ncr:1_{ABC421A6-D6BC-4196-97F0-8F5FD685472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CallData" sheetId="2" r:id="rId2"/>
    <sheet name="UsageChrg" sheetId="3" r:id="rId3"/>
    <sheet name="MrcChrgs" sheetId="4" r:id="rId4"/>
    <sheet name="OthChrg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3" l="1"/>
  <c r="I6" i="3"/>
  <c r="I5" i="3"/>
  <c r="I4" i="3"/>
  <c r="I3" i="3"/>
  <c r="I2" i="3"/>
</calcChain>
</file>

<file path=xl/sharedStrings.xml><?xml version="1.0" encoding="utf-8"?>
<sst xmlns="http://schemas.openxmlformats.org/spreadsheetml/2006/main" count="295" uniqueCount="104">
  <si>
    <t>RecordID</t>
  </si>
  <si>
    <t>CustomerID</t>
  </si>
  <si>
    <t>CustomerName</t>
  </si>
  <si>
    <t>BILL_PERIOD_MONTH</t>
  </si>
  <si>
    <t>BILL_PERIOD_YEAR</t>
  </si>
  <si>
    <t>BILL_PERIOD_STARTDATE</t>
  </si>
  <si>
    <t>BILL_PERIOD_ENDDATE</t>
  </si>
  <si>
    <t>BillDate</t>
  </si>
  <si>
    <t>totalMonthlyRecurringCharges</t>
  </si>
  <si>
    <t>totalUsageCharges</t>
  </si>
  <si>
    <t>totalOtherCharges</t>
  </si>
  <si>
    <t>total_taxes</t>
  </si>
  <si>
    <t>TotalAmount</t>
  </si>
  <si>
    <t>DueDate</t>
  </si>
  <si>
    <t>R001</t>
  </si>
  <si>
    <t>c90001</t>
  </si>
  <si>
    <t>August</t>
  </si>
  <si>
    <t>2026</t>
  </si>
  <si>
    <t>01/08/2026</t>
  </si>
  <si>
    <t>31/08/2026</t>
  </si>
  <si>
    <t>01/09/2026</t>
  </si>
  <si>
    <t>15/09/2026</t>
  </si>
  <si>
    <t>R002</t>
  </si>
  <si>
    <t>c90002</t>
  </si>
  <si>
    <t>R003</t>
  </si>
  <si>
    <t>c90003</t>
  </si>
  <si>
    <t>R004</t>
  </si>
  <si>
    <t>c90004</t>
  </si>
  <si>
    <t>R005</t>
  </si>
  <si>
    <t>c90005</t>
  </si>
  <si>
    <t>R006</t>
  </si>
  <si>
    <t>c90006</t>
  </si>
  <si>
    <t>R007</t>
  </si>
  <si>
    <t>c90007</t>
  </si>
  <si>
    <t>R008</t>
  </si>
  <si>
    <t>c90008</t>
  </si>
  <si>
    <t>R009</t>
  </si>
  <si>
    <t>c90009</t>
  </si>
  <si>
    <t>R010</t>
  </si>
  <si>
    <t>c90010</t>
  </si>
  <si>
    <t>Michael Davis</t>
  </si>
  <si>
    <t>John Anderson</t>
  </si>
  <si>
    <t>Matthew Wilson</t>
  </si>
  <si>
    <t>Daniel Thomas</t>
  </si>
  <si>
    <t>Christopher Martin</t>
  </si>
  <si>
    <t>Anthony Roberts</t>
  </si>
  <si>
    <t>Joseph Walker</t>
  </si>
  <si>
    <t>David Harris</t>
  </si>
  <si>
    <t>Andrew Lewis</t>
  </si>
  <si>
    <t>Peter Clark</t>
  </si>
  <si>
    <t>AddressLine1</t>
  </si>
  <si>
    <t>AddressLine2</t>
  </si>
  <si>
    <t>101 Main Street 1</t>
  </si>
  <si>
    <t>102 Main Street 2</t>
  </si>
  <si>
    <t>103 Main Street 3</t>
  </si>
  <si>
    <t>104 Main Street 4</t>
  </si>
  <si>
    <t>105 Main Street 5</t>
  </si>
  <si>
    <t>106 Main Street 6</t>
  </si>
  <si>
    <t>107 Main Street 7</t>
  </si>
  <si>
    <t>108 Main Street 8</t>
  </si>
  <si>
    <t>109 Main Street 9</t>
  </si>
  <si>
    <t>110 Main Street 10</t>
  </si>
  <si>
    <t>Limmassol, Cyrpus</t>
  </si>
  <si>
    <t>Larnaca, Cyrpus</t>
  </si>
  <si>
    <t>Pafos, Cyrpus</t>
  </si>
  <si>
    <t>Customer_specific_messages</t>
  </si>
  <si>
    <t>Dear Customer, Based on your usage our  AI based anaytics system has curated a very special offer for you that can help to save you 10% on monthly usage charges. For more details contact customer care and ask for details about Personalized Offer</t>
  </si>
  <si>
    <t>Local</t>
  </si>
  <si>
    <t>Out</t>
  </si>
  <si>
    <t>24/8/2026</t>
  </si>
  <si>
    <t>In</t>
  </si>
  <si>
    <t>23/8/2026</t>
  </si>
  <si>
    <t>22/8/2026</t>
  </si>
  <si>
    <t>CallCharge</t>
  </si>
  <si>
    <t>Duration</t>
  </si>
  <si>
    <t>CallCategory</t>
  </si>
  <si>
    <t>PhoneNumber</t>
  </si>
  <si>
    <t>Direction</t>
  </si>
  <si>
    <t>CallTime</t>
  </si>
  <si>
    <t>CallDate</t>
  </si>
  <si>
    <t>RowNo</t>
  </si>
  <si>
    <t>servtype</t>
  </si>
  <si>
    <t>category</t>
  </si>
  <si>
    <t>Voice</t>
  </si>
  <si>
    <t>totalunit</t>
  </si>
  <si>
    <t>allowance</t>
  </si>
  <si>
    <t>overage</t>
  </si>
  <si>
    <t>rate</t>
  </si>
  <si>
    <t>charge</t>
  </si>
  <si>
    <t>Internat'l</t>
  </si>
  <si>
    <t>Roaming</t>
  </si>
  <si>
    <t>planname</t>
  </si>
  <si>
    <t>startdt</t>
  </si>
  <si>
    <t>enddt</t>
  </si>
  <si>
    <t>chrgamt</t>
  </si>
  <si>
    <t>MSME Business Plan 1000</t>
  </si>
  <si>
    <t>Startup Business Plan 500</t>
  </si>
  <si>
    <t>30/8/2026</t>
  </si>
  <si>
    <t>15/8/2026</t>
  </si>
  <si>
    <t>16/8/2026</t>
  </si>
  <si>
    <t>chrgdesc</t>
  </si>
  <si>
    <t>Plan Change Fee</t>
  </si>
  <si>
    <t>chrgdt</t>
  </si>
  <si>
    <t>One Year Price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</si>
</sst>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/>
    </xf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opLeftCell="G1" workbookViewId="0">
      <selection activeCell="H17" sqref="H17"/>
    </sheetView>
  </sheetViews>
  <sheetFormatPr defaultRowHeight="14.4" x14ac:dyDescent="0.3"/>
  <cols>
    <col min="1" max="1" width="8.6640625" bestFit="1" customWidth="1"/>
    <col min="2" max="2" width="10.88671875" bestFit="1" customWidth="1"/>
    <col min="3" max="3" width="16.44140625" bestFit="1" customWidth="1"/>
    <col min="4" max="5" width="20.5546875" bestFit="1" customWidth="1"/>
    <col min="6" max="6" width="19.6640625" bestFit="1" customWidth="1"/>
    <col min="7" max="7" width="17.33203125" bestFit="1" customWidth="1"/>
    <col min="8" max="8" width="22.88671875" bestFit="1" customWidth="1"/>
    <col min="9" max="9" width="21" bestFit="1" customWidth="1"/>
    <col min="10" max="10" width="10.5546875" bestFit="1" customWidth="1"/>
    <col min="11" max="11" width="27.21875" bestFit="1" customWidth="1"/>
    <col min="12" max="12" width="16.77734375" bestFit="1" customWidth="1"/>
    <col min="13" max="13" width="16.44140625" bestFit="1" customWidth="1"/>
    <col min="14" max="14" width="10.21875" bestFit="1" customWidth="1"/>
    <col min="15" max="15" width="12.109375" bestFit="1" customWidth="1"/>
    <col min="16" max="16" width="10.5546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50</v>
      </c>
      <c r="E1" s="1" t="s">
        <v>51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2" t="s">
        <v>65</v>
      </c>
    </row>
    <row r="2" spans="1:17" x14ac:dyDescent="0.3">
      <c r="A2" t="s">
        <v>14</v>
      </c>
      <c r="B2" t="s">
        <v>15</v>
      </c>
      <c r="C2" t="s">
        <v>40</v>
      </c>
      <c r="D2" t="s">
        <v>52</v>
      </c>
      <c r="E2" t="s">
        <v>62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300</v>
      </c>
      <c r="L2">
        <v>120</v>
      </c>
      <c r="M2">
        <v>30</v>
      </c>
      <c r="N2">
        <v>45</v>
      </c>
      <c r="O2">
        <v>495</v>
      </c>
      <c r="P2" t="s">
        <v>21</v>
      </c>
      <c r="Q2" t="s">
        <v>66</v>
      </c>
    </row>
    <row r="3" spans="1:17" x14ac:dyDescent="0.3">
      <c r="A3" t="s">
        <v>22</v>
      </c>
      <c r="B3" t="s">
        <v>23</v>
      </c>
      <c r="C3" t="s">
        <v>41</v>
      </c>
      <c r="D3" t="s">
        <v>53</v>
      </c>
      <c r="E3" t="s">
        <v>62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>
        <v>300</v>
      </c>
      <c r="L3">
        <v>185</v>
      </c>
      <c r="M3">
        <v>20</v>
      </c>
      <c r="N3">
        <v>50.5</v>
      </c>
      <c r="O3">
        <v>555.5</v>
      </c>
      <c r="P3" t="s">
        <v>21</v>
      </c>
      <c r="Q3" t="s">
        <v>66</v>
      </c>
    </row>
    <row r="4" spans="1:17" x14ac:dyDescent="0.3">
      <c r="A4" t="s">
        <v>24</v>
      </c>
      <c r="B4" t="s">
        <v>25</v>
      </c>
      <c r="C4" t="s">
        <v>42</v>
      </c>
      <c r="D4" t="s">
        <v>54</v>
      </c>
      <c r="E4" t="s">
        <v>63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>
        <v>300</v>
      </c>
      <c r="L4">
        <v>240</v>
      </c>
      <c r="M4">
        <v>30</v>
      </c>
      <c r="N4">
        <v>57</v>
      </c>
      <c r="O4">
        <v>627</v>
      </c>
      <c r="P4" t="s">
        <v>21</v>
      </c>
      <c r="Q4" t="s">
        <v>66</v>
      </c>
    </row>
    <row r="5" spans="1:17" x14ac:dyDescent="0.3">
      <c r="A5" t="s">
        <v>26</v>
      </c>
      <c r="B5" t="s">
        <v>27</v>
      </c>
      <c r="C5" t="s">
        <v>43</v>
      </c>
      <c r="D5" t="s">
        <v>55</v>
      </c>
      <c r="E5" t="s">
        <v>63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>
        <v>300</v>
      </c>
      <c r="L5">
        <v>310</v>
      </c>
      <c r="M5">
        <v>20</v>
      </c>
      <c r="N5">
        <v>63</v>
      </c>
      <c r="O5">
        <v>693</v>
      </c>
      <c r="P5" t="s">
        <v>21</v>
      </c>
      <c r="Q5" t="s">
        <v>66</v>
      </c>
    </row>
    <row r="6" spans="1:17" x14ac:dyDescent="0.3">
      <c r="A6" t="s">
        <v>28</v>
      </c>
      <c r="B6" t="s">
        <v>29</v>
      </c>
      <c r="C6" t="s">
        <v>44</v>
      </c>
      <c r="D6" t="s">
        <v>56</v>
      </c>
      <c r="E6" t="s">
        <v>63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>
        <v>300</v>
      </c>
      <c r="L6">
        <v>275</v>
      </c>
      <c r="M6">
        <v>30</v>
      </c>
      <c r="N6">
        <v>60.5</v>
      </c>
      <c r="O6">
        <v>665.5</v>
      </c>
      <c r="P6" t="s">
        <v>21</v>
      </c>
      <c r="Q6" t="s">
        <v>66</v>
      </c>
    </row>
    <row r="7" spans="1:17" x14ac:dyDescent="0.3">
      <c r="A7" t="s">
        <v>30</v>
      </c>
      <c r="B7" t="s">
        <v>31</v>
      </c>
      <c r="C7" t="s">
        <v>45</v>
      </c>
      <c r="D7" t="s">
        <v>57</v>
      </c>
      <c r="E7" t="s">
        <v>62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>
        <v>300</v>
      </c>
      <c r="L7">
        <v>420</v>
      </c>
      <c r="M7">
        <v>20</v>
      </c>
      <c r="N7">
        <v>74</v>
      </c>
      <c r="O7">
        <v>814</v>
      </c>
      <c r="P7" t="s">
        <v>21</v>
      </c>
      <c r="Q7" t="s">
        <v>66</v>
      </c>
    </row>
    <row r="8" spans="1:17" x14ac:dyDescent="0.3">
      <c r="A8" t="s">
        <v>32</v>
      </c>
      <c r="B8" t="s">
        <v>33</v>
      </c>
      <c r="C8" t="s">
        <v>46</v>
      </c>
      <c r="D8" t="s">
        <v>58</v>
      </c>
      <c r="E8" t="s">
        <v>64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>
        <v>300</v>
      </c>
      <c r="L8">
        <v>360</v>
      </c>
      <c r="M8">
        <v>30</v>
      </c>
      <c r="N8">
        <v>69</v>
      </c>
      <c r="O8">
        <v>759</v>
      </c>
      <c r="P8" t="s">
        <v>21</v>
      </c>
      <c r="Q8" t="s">
        <v>66</v>
      </c>
    </row>
    <row r="9" spans="1:17" x14ac:dyDescent="0.3">
      <c r="A9" t="s">
        <v>34</v>
      </c>
      <c r="B9" t="s">
        <v>35</v>
      </c>
      <c r="C9" t="s">
        <v>47</v>
      </c>
      <c r="D9" t="s">
        <v>59</v>
      </c>
      <c r="E9" t="s">
        <v>64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>
        <v>300</v>
      </c>
      <c r="L9">
        <v>510</v>
      </c>
      <c r="M9">
        <v>20</v>
      </c>
      <c r="N9">
        <v>83</v>
      </c>
      <c r="O9">
        <v>913</v>
      </c>
      <c r="P9" t="s">
        <v>21</v>
      </c>
      <c r="Q9" t="s">
        <v>66</v>
      </c>
    </row>
    <row r="10" spans="1:17" x14ac:dyDescent="0.3">
      <c r="A10" t="s">
        <v>36</v>
      </c>
      <c r="B10" t="s">
        <v>37</v>
      </c>
      <c r="C10" t="s">
        <v>48</v>
      </c>
      <c r="D10" t="s">
        <v>60</v>
      </c>
      <c r="E10" t="s">
        <v>64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>
        <v>300</v>
      </c>
      <c r="L10">
        <v>450</v>
      </c>
      <c r="M10">
        <v>30</v>
      </c>
      <c r="N10">
        <v>78</v>
      </c>
      <c r="O10">
        <v>858</v>
      </c>
      <c r="P10" t="s">
        <v>21</v>
      </c>
      <c r="Q10" t="s">
        <v>66</v>
      </c>
    </row>
    <row r="11" spans="1:17" x14ac:dyDescent="0.3">
      <c r="A11" t="s">
        <v>38</v>
      </c>
      <c r="B11" t="s">
        <v>39</v>
      </c>
      <c r="C11" t="s">
        <v>49</v>
      </c>
      <c r="D11" t="s">
        <v>61</v>
      </c>
      <c r="E11" t="s">
        <v>62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>
        <v>300</v>
      </c>
      <c r="L11">
        <v>600</v>
      </c>
      <c r="M11">
        <v>20</v>
      </c>
      <c r="N11">
        <v>92</v>
      </c>
      <c r="O11">
        <v>1012</v>
      </c>
      <c r="P11" t="s">
        <v>21</v>
      </c>
      <c r="Q11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6B7A-4587-444A-94BA-645E8AD607DE}">
  <dimension ref="A1:I25"/>
  <sheetViews>
    <sheetView workbookViewId="0">
      <selection sqref="A1:I7"/>
    </sheetView>
  </sheetViews>
  <sheetFormatPr defaultRowHeight="14.4" x14ac:dyDescent="0.3"/>
  <cols>
    <col min="6" max="6" width="12.6640625" bestFit="1" customWidth="1"/>
    <col min="7" max="7" width="11.33203125" bestFit="1" customWidth="1"/>
  </cols>
  <sheetData>
    <row r="1" spans="1:9" x14ac:dyDescent="0.3">
      <c r="A1" s="1" t="s">
        <v>1</v>
      </c>
      <c r="B1" t="s">
        <v>80</v>
      </c>
      <c r="C1" t="s">
        <v>79</v>
      </c>
      <c r="D1" t="s">
        <v>78</v>
      </c>
      <c r="E1" t="s">
        <v>77</v>
      </c>
      <c r="F1" t="s">
        <v>76</v>
      </c>
      <c r="G1" t="s">
        <v>75</v>
      </c>
      <c r="H1" t="s">
        <v>74</v>
      </c>
      <c r="I1" t="s">
        <v>73</v>
      </c>
    </row>
    <row r="2" spans="1:9" x14ac:dyDescent="0.3">
      <c r="A2" t="s">
        <v>15</v>
      </c>
      <c r="B2">
        <v>1</v>
      </c>
      <c r="C2" t="s">
        <v>72</v>
      </c>
      <c r="D2" s="5">
        <v>0.5</v>
      </c>
      <c r="E2" t="s">
        <v>70</v>
      </c>
      <c r="F2">
        <v>9988997788</v>
      </c>
      <c r="G2" s="4" t="s">
        <v>67</v>
      </c>
      <c r="H2">
        <v>1.9</v>
      </c>
      <c r="I2" s="3">
        <v>0.19</v>
      </c>
    </row>
    <row r="3" spans="1:9" x14ac:dyDescent="0.3">
      <c r="A3" t="s">
        <v>15</v>
      </c>
      <c r="B3">
        <v>2</v>
      </c>
      <c r="C3" t="s">
        <v>72</v>
      </c>
      <c r="D3" s="5">
        <v>0.54166666666666663</v>
      </c>
      <c r="E3" t="s">
        <v>68</v>
      </c>
      <c r="F3">
        <v>43434342</v>
      </c>
      <c r="G3" s="4" t="s">
        <v>67</v>
      </c>
      <c r="H3">
        <v>0.2</v>
      </c>
      <c r="I3" s="3">
        <v>2.0000000000000004E-2</v>
      </c>
    </row>
    <row r="4" spans="1:9" x14ac:dyDescent="0.3">
      <c r="A4" t="s">
        <v>15</v>
      </c>
      <c r="B4">
        <v>3</v>
      </c>
      <c r="C4" t="s">
        <v>72</v>
      </c>
      <c r="D4" s="5">
        <v>0.58333333333333337</v>
      </c>
      <c r="E4" t="s">
        <v>68</v>
      </c>
      <c r="F4">
        <v>2211221</v>
      </c>
      <c r="G4" s="4" t="s">
        <v>67</v>
      </c>
      <c r="H4">
        <v>0.02</v>
      </c>
      <c r="I4" s="3">
        <v>2E-3</v>
      </c>
    </row>
    <row r="5" spans="1:9" x14ac:dyDescent="0.3">
      <c r="A5" t="s">
        <v>15</v>
      </c>
      <c r="B5">
        <v>4</v>
      </c>
      <c r="C5" t="s">
        <v>72</v>
      </c>
      <c r="D5" s="5">
        <v>0.625</v>
      </c>
      <c r="E5" t="s">
        <v>68</v>
      </c>
      <c r="F5">
        <v>43434342</v>
      </c>
      <c r="G5" s="4" t="s">
        <v>67</v>
      </c>
      <c r="H5">
        <v>1.5</v>
      </c>
      <c r="I5" s="3">
        <v>0.15000000000000002</v>
      </c>
    </row>
    <row r="6" spans="1:9" x14ac:dyDescent="0.3">
      <c r="A6" t="s">
        <v>15</v>
      </c>
      <c r="B6">
        <v>5</v>
      </c>
      <c r="C6" t="s">
        <v>71</v>
      </c>
      <c r="D6" s="5">
        <v>0.66666666666666663</v>
      </c>
      <c r="E6" t="s">
        <v>70</v>
      </c>
      <c r="F6">
        <v>9988997788</v>
      </c>
      <c r="G6" s="4" t="s">
        <v>67</v>
      </c>
      <c r="H6">
        <v>2</v>
      </c>
      <c r="I6" s="3">
        <v>0.2</v>
      </c>
    </row>
    <row r="7" spans="1:9" x14ac:dyDescent="0.3">
      <c r="A7" t="s">
        <v>15</v>
      </c>
      <c r="B7">
        <v>6</v>
      </c>
      <c r="C7" t="s">
        <v>69</v>
      </c>
      <c r="D7" s="5">
        <v>0.95833333333333337</v>
      </c>
      <c r="E7" t="s">
        <v>68</v>
      </c>
      <c r="F7">
        <v>43434342</v>
      </c>
      <c r="G7" s="4" t="s">
        <v>67</v>
      </c>
      <c r="H7">
        <v>2.25</v>
      </c>
      <c r="I7" s="3">
        <v>0.22500000000000001</v>
      </c>
    </row>
    <row r="8" spans="1:9" x14ac:dyDescent="0.3">
      <c r="A8" t="s">
        <v>23</v>
      </c>
      <c r="B8">
        <v>1</v>
      </c>
      <c r="C8" t="s">
        <v>72</v>
      </c>
      <c r="D8" s="5">
        <v>0.5</v>
      </c>
      <c r="E8" t="s">
        <v>70</v>
      </c>
      <c r="F8">
        <v>9988997788</v>
      </c>
      <c r="G8" s="4" t="s">
        <v>67</v>
      </c>
      <c r="H8">
        <v>1.9</v>
      </c>
      <c r="I8" s="3">
        <v>0.19</v>
      </c>
    </row>
    <row r="9" spans="1:9" x14ac:dyDescent="0.3">
      <c r="A9" t="s">
        <v>23</v>
      </c>
      <c r="B9">
        <v>2</v>
      </c>
      <c r="C9" t="s">
        <v>72</v>
      </c>
      <c r="D9" s="5">
        <v>0.54166666666666663</v>
      </c>
      <c r="E9" t="s">
        <v>68</v>
      </c>
      <c r="F9">
        <v>43434342</v>
      </c>
      <c r="G9" s="4" t="s">
        <v>67</v>
      </c>
      <c r="H9">
        <v>0.2</v>
      </c>
      <c r="I9" s="3">
        <v>2.0000000000000004E-2</v>
      </c>
    </row>
    <row r="10" spans="1:9" x14ac:dyDescent="0.3">
      <c r="A10" t="s">
        <v>23</v>
      </c>
      <c r="B10">
        <v>3</v>
      </c>
      <c r="C10" t="s">
        <v>72</v>
      </c>
      <c r="D10" s="5">
        <v>0.58333333333333337</v>
      </c>
      <c r="E10" t="s">
        <v>68</v>
      </c>
      <c r="F10">
        <v>2211221</v>
      </c>
      <c r="G10" s="4" t="s">
        <v>67</v>
      </c>
      <c r="H10">
        <v>0.02</v>
      </c>
      <c r="I10" s="3">
        <v>2E-3</v>
      </c>
    </row>
    <row r="11" spans="1:9" x14ac:dyDescent="0.3">
      <c r="A11" t="s">
        <v>23</v>
      </c>
      <c r="B11">
        <v>4</v>
      </c>
      <c r="C11" t="s">
        <v>72</v>
      </c>
      <c r="D11" s="5">
        <v>0.625</v>
      </c>
      <c r="E11" t="s">
        <v>68</v>
      </c>
      <c r="F11">
        <v>43434342</v>
      </c>
      <c r="G11" s="4" t="s">
        <v>67</v>
      </c>
      <c r="H11">
        <v>1.5</v>
      </c>
      <c r="I11" s="3">
        <v>0.15000000000000002</v>
      </c>
    </row>
    <row r="12" spans="1:9" x14ac:dyDescent="0.3">
      <c r="A12" t="s">
        <v>23</v>
      </c>
      <c r="B12">
        <v>5</v>
      </c>
      <c r="C12" t="s">
        <v>71</v>
      </c>
      <c r="D12" s="5">
        <v>0.66666666666666663</v>
      </c>
      <c r="E12" t="s">
        <v>70</v>
      </c>
      <c r="F12">
        <v>9988997788</v>
      </c>
      <c r="G12" s="4" t="s">
        <v>67</v>
      </c>
      <c r="H12">
        <v>2</v>
      </c>
      <c r="I12" s="3">
        <v>0.2</v>
      </c>
    </row>
    <row r="13" spans="1:9" x14ac:dyDescent="0.3">
      <c r="A13" t="s">
        <v>23</v>
      </c>
      <c r="B13">
        <v>6</v>
      </c>
      <c r="C13" t="s">
        <v>69</v>
      </c>
      <c r="D13" s="5">
        <v>0.95833333333333337</v>
      </c>
      <c r="E13" t="s">
        <v>68</v>
      </c>
      <c r="F13">
        <v>43434342</v>
      </c>
      <c r="G13" s="4" t="s">
        <v>67</v>
      </c>
      <c r="H13">
        <v>2.25</v>
      </c>
      <c r="I13" s="3">
        <v>0.22500000000000001</v>
      </c>
    </row>
    <row r="14" spans="1:9" x14ac:dyDescent="0.3">
      <c r="A14" t="s">
        <v>25</v>
      </c>
      <c r="B14">
        <v>1</v>
      </c>
      <c r="C14" t="s">
        <v>72</v>
      </c>
      <c r="D14" s="5">
        <v>0.5</v>
      </c>
      <c r="E14" t="s">
        <v>70</v>
      </c>
      <c r="F14">
        <v>9988997788</v>
      </c>
      <c r="G14" s="4" t="s">
        <v>67</v>
      </c>
      <c r="H14">
        <v>1.9</v>
      </c>
      <c r="I14" s="3">
        <v>0.19</v>
      </c>
    </row>
    <row r="15" spans="1:9" x14ac:dyDescent="0.3">
      <c r="A15" t="s">
        <v>25</v>
      </c>
      <c r="B15">
        <v>2</v>
      </c>
      <c r="C15" t="s">
        <v>72</v>
      </c>
      <c r="D15" s="5">
        <v>0.54166666666666663</v>
      </c>
      <c r="E15" t="s">
        <v>68</v>
      </c>
      <c r="F15">
        <v>43434342</v>
      </c>
      <c r="G15" s="4" t="s">
        <v>67</v>
      </c>
      <c r="H15">
        <v>0.2</v>
      </c>
      <c r="I15" s="3">
        <v>2.0000000000000004E-2</v>
      </c>
    </row>
    <row r="16" spans="1:9" x14ac:dyDescent="0.3">
      <c r="A16" t="s">
        <v>25</v>
      </c>
      <c r="B16">
        <v>3</v>
      </c>
      <c r="C16" t="s">
        <v>72</v>
      </c>
      <c r="D16" s="5">
        <v>0.58333333333333337</v>
      </c>
      <c r="E16" t="s">
        <v>68</v>
      </c>
      <c r="F16">
        <v>2211221</v>
      </c>
      <c r="G16" s="4" t="s">
        <v>67</v>
      </c>
      <c r="H16">
        <v>0.02</v>
      </c>
      <c r="I16" s="3">
        <v>2E-3</v>
      </c>
    </row>
    <row r="17" spans="1:9" x14ac:dyDescent="0.3">
      <c r="A17" t="s">
        <v>25</v>
      </c>
      <c r="B17">
        <v>4</v>
      </c>
      <c r="C17" t="s">
        <v>72</v>
      </c>
      <c r="D17" s="5">
        <v>0.625</v>
      </c>
      <c r="E17" t="s">
        <v>68</v>
      </c>
      <c r="F17">
        <v>43434342</v>
      </c>
      <c r="G17" s="4" t="s">
        <v>67</v>
      </c>
      <c r="H17">
        <v>1.5</v>
      </c>
      <c r="I17" s="3">
        <v>0.15000000000000002</v>
      </c>
    </row>
    <row r="18" spans="1:9" x14ac:dyDescent="0.3">
      <c r="A18" t="s">
        <v>25</v>
      </c>
      <c r="B18">
        <v>5</v>
      </c>
      <c r="C18" t="s">
        <v>71</v>
      </c>
      <c r="D18" s="5">
        <v>0.66666666666666663</v>
      </c>
      <c r="E18" t="s">
        <v>70</v>
      </c>
      <c r="F18">
        <v>9988997788</v>
      </c>
      <c r="G18" s="4" t="s">
        <v>67</v>
      </c>
      <c r="H18">
        <v>2</v>
      </c>
      <c r="I18" s="3">
        <v>0.2</v>
      </c>
    </row>
    <row r="19" spans="1:9" x14ac:dyDescent="0.3">
      <c r="A19" t="s">
        <v>25</v>
      </c>
      <c r="B19">
        <v>6</v>
      </c>
      <c r="C19" t="s">
        <v>69</v>
      </c>
      <c r="D19" s="5">
        <v>0.95833333333333337</v>
      </c>
      <c r="E19" t="s">
        <v>68</v>
      </c>
      <c r="F19">
        <v>43434342</v>
      </c>
      <c r="G19" s="4" t="s">
        <v>67</v>
      </c>
      <c r="H19">
        <v>2.25</v>
      </c>
      <c r="I19" s="3">
        <v>0.22500000000000001</v>
      </c>
    </row>
    <row r="20" spans="1:9" x14ac:dyDescent="0.3">
      <c r="A20" t="s">
        <v>27</v>
      </c>
      <c r="B20">
        <v>1</v>
      </c>
      <c r="C20" t="s">
        <v>72</v>
      </c>
      <c r="D20" s="5">
        <v>0.5</v>
      </c>
      <c r="E20" t="s">
        <v>70</v>
      </c>
      <c r="F20">
        <v>9988997788</v>
      </c>
      <c r="G20" s="4" t="s">
        <v>67</v>
      </c>
      <c r="H20">
        <v>1.9</v>
      </c>
      <c r="I20" s="3">
        <v>0.19</v>
      </c>
    </row>
    <row r="21" spans="1:9" x14ac:dyDescent="0.3">
      <c r="A21" t="s">
        <v>27</v>
      </c>
      <c r="B21">
        <v>2</v>
      </c>
      <c r="C21" t="s">
        <v>72</v>
      </c>
      <c r="D21" s="5">
        <v>0.54166666666666663</v>
      </c>
      <c r="E21" t="s">
        <v>68</v>
      </c>
      <c r="F21">
        <v>43434342</v>
      </c>
      <c r="G21" s="4" t="s">
        <v>67</v>
      </c>
      <c r="H21">
        <v>0.2</v>
      </c>
      <c r="I21" s="3">
        <v>2.0000000000000004E-2</v>
      </c>
    </row>
    <row r="22" spans="1:9" x14ac:dyDescent="0.3">
      <c r="A22" t="s">
        <v>27</v>
      </c>
      <c r="B22">
        <v>3</v>
      </c>
      <c r="C22" t="s">
        <v>72</v>
      </c>
      <c r="D22" s="5">
        <v>0.58333333333333337</v>
      </c>
      <c r="E22" t="s">
        <v>68</v>
      </c>
      <c r="F22">
        <v>2211221</v>
      </c>
      <c r="G22" s="4" t="s">
        <v>67</v>
      </c>
      <c r="H22">
        <v>0.02</v>
      </c>
      <c r="I22" s="3">
        <v>2E-3</v>
      </c>
    </row>
    <row r="23" spans="1:9" x14ac:dyDescent="0.3">
      <c r="A23" t="s">
        <v>27</v>
      </c>
      <c r="B23">
        <v>4</v>
      </c>
      <c r="C23" t="s">
        <v>72</v>
      </c>
      <c r="D23" s="5">
        <v>0.625</v>
      </c>
      <c r="E23" t="s">
        <v>68</v>
      </c>
      <c r="F23">
        <v>43434342</v>
      </c>
      <c r="G23" s="4" t="s">
        <v>67</v>
      </c>
      <c r="H23">
        <v>1.5</v>
      </c>
      <c r="I23" s="3">
        <v>0.15000000000000002</v>
      </c>
    </row>
    <row r="24" spans="1:9" x14ac:dyDescent="0.3">
      <c r="A24" t="s">
        <v>27</v>
      </c>
      <c r="B24">
        <v>5</v>
      </c>
      <c r="C24" t="s">
        <v>71</v>
      </c>
      <c r="D24" s="5">
        <v>0.66666666666666663</v>
      </c>
      <c r="E24" t="s">
        <v>70</v>
      </c>
      <c r="F24">
        <v>9988997788</v>
      </c>
      <c r="G24" s="4" t="s">
        <v>67</v>
      </c>
      <c r="H24">
        <v>2</v>
      </c>
      <c r="I24" s="3">
        <v>0.2</v>
      </c>
    </row>
    <row r="25" spans="1:9" x14ac:dyDescent="0.3">
      <c r="A25" t="s">
        <v>27</v>
      </c>
      <c r="B25">
        <v>6</v>
      </c>
      <c r="C25" t="s">
        <v>69</v>
      </c>
      <c r="D25" s="5">
        <v>0.95833333333333337</v>
      </c>
      <c r="E25" t="s">
        <v>68</v>
      </c>
      <c r="F25">
        <v>43434342</v>
      </c>
      <c r="G25" s="4" t="s">
        <v>67</v>
      </c>
      <c r="H25">
        <v>2.25</v>
      </c>
      <c r="I25" s="3">
        <v>0.22500000000000001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83F5-E032-45E2-9A33-61912C85E1F7}">
  <dimension ref="A1:I7"/>
  <sheetViews>
    <sheetView workbookViewId="0">
      <selection activeCell="D14" sqref="D14"/>
    </sheetView>
  </sheetViews>
  <sheetFormatPr defaultRowHeight="14.4" x14ac:dyDescent="0.3"/>
  <sheetData>
    <row r="1" spans="1:9" x14ac:dyDescent="0.3">
      <c r="A1" s="1" t="s">
        <v>1</v>
      </c>
      <c r="B1" t="s">
        <v>80</v>
      </c>
      <c r="C1" t="s">
        <v>81</v>
      </c>
      <c r="D1" t="s">
        <v>82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</row>
    <row r="2" spans="1:9" x14ac:dyDescent="0.3">
      <c r="A2" t="s">
        <v>15</v>
      </c>
      <c r="B2">
        <v>1</v>
      </c>
      <c r="C2" t="s">
        <v>83</v>
      </c>
      <c r="D2" s="5" t="s">
        <v>67</v>
      </c>
      <c r="E2">
        <v>1100</v>
      </c>
      <c r="F2">
        <v>1000</v>
      </c>
      <c r="G2" s="4">
        <v>100</v>
      </c>
      <c r="H2">
        <v>0.1</v>
      </c>
      <c r="I2" s="3">
        <f>G2*H2</f>
        <v>10</v>
      </c>
    </row>
    <row r="3" spans="1:9" x14ac:dyDescent="0.3">
      <c r="A3" t="s">
        <v>15</v>
      </c>
      <c r="B3">
        <v>2</v>
      </c>
      <c r="C3" t="s">
        <v>83</v>
      </c>
      <c r="D3" s="5" t="s">
        <v>89</v>
      </c>
      <c r="E3">
        <v>210</v>
      </c>
      <c r="F3">
        <v>200</v>
      </c>
      <c r="G3" s="4">
        <v>10</v>
      </c>
      <c r="H3">
        <v>0.5</v>
      </c>
      <c r="I3" s="3">
        <f t="shared" ref="I3" si="0">G3*H3</f>
        <v>5</v>
      </c>
    </row>
    <row r="4" spans="1:9" x14ac:dyDescent="0.3">
      <c r="A4" t="s">
        <v>15</v>
      </c>
      <c r="B4">
        <v>3</v>
      </c>
      <c r="C4" t="s">
        <v>83</v>
      </c>
      <c r="D4" s="5" t="s">
        <v>90</v>
      </c>
      <c r="E4">
        <v>110</v>
      </c>
      <c r="F4">
        <v>100</v>
      </c>
      <c r="G4" s="4">
        <v>10</v>
      </c>
      <c r="H4">
        <v>1</v>
      </c>
      <c r="I4" s="3">
        <f t="shared" ref="I4" si="1">G4*H4</f>
        <v>10</v>
      </c>
    </row>
    <row r="5" spans="1:9" x14ac:dyDescent="0.3">
      <c r="A5" t="s">
        <v>23</v>
      </c>
      <c r="B5">
        <v>1</v>
      </c>
      <c r="C5" t="s">
        <v>83</v>
      </c>
      <c r="D5" s="5" t="s">
        <v>67</v>
      </c>
      <c r="E5">
        <v>1100</v>
      </c>
      <c r="F5">
        <v>1000</v>
      </c>
      <c r="G5" s="4">
        <v>100</v>
      </c>
      <c r="H5">
        <v>0.1</v>
      </c>
      <c r="I5" s="3">
        <f>G5*H5</f>
        <v>10</v>
      </c>
    </row>
    <row r="6" spans="1:9" x14ac:dyDescent="0.3">
      <c r="A6" t="s">
        <v>23</v>
      </c>
      <c r="B6">
        <v>2</v>
      </c>
      <c r="C6" t="s">
        <v>83</v>
      </c>
      <c r="D6" s="5" t="s">
        <v>89</v>
      </c>
      <c r="E6">
        <v>210</v>
      </c>
      <c r="F6">
        <v>200</v>
      </c>
      <c r="G6" s="4">
        <v>10</v>
      </c>
      <c r="H6">
        <v>0.5</v>
      </c>
      <c r="I6" s="3">
        <f t="shared" ref="I6:I7" si="2">G6*H6</f>
        <v>5</v>
      </c>
    </row>
    <row r="7" spans="1:9" x14ac:dyDescent="0.3">
      <c r="A7" t="s">
        <v>23</v>
      </c>
      <c r="B7">
        <v>3</v>
      </c>
      <c r="C7" t="s">
        <v>83</v>
      </c>
      <c r="D7" s="5" t="s">
        <v>90</v>
      </c>
      <c r="E7">
        <v>110</v>
      </c>
      <c r="F7">
        <v>100</v>
      </c>
      <c r="G7" s="4">
        <v>10</v>
      </c>
      <c r="H7">
        <v>1</v>
      </c>
      <c r="I7" s="3">
        <f t="shared" si="2"/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AEDE-A36E-46E3-8105-6E682A737A4D}">
  <dimension ref="A1:F7"/>
  <sheetViews>
    <sheetView workbookViewId="0">
      <selection activeCell="B5" sqref="B5"/>
    </sheetView>
  </sheetViews>
  <sheetFormatPr defaultRowHeight="14.4" x14ac:dyDescent="0.3"/>
  <cols>
    <col min="3" max="3" width="23.44140625" customWidth="1"/>
  </cols>
  <sheetData>
    <row r="1" spans="1:6" x14ac:dyDescent="0.3">
      <c r="A1" s="1" t="s">
        <v>1</v>
      </c>
      <c r="B1" t="s">
        <v>80</v>
      </c>
      <c r="C1" t="s">
        <v>91</v>
      </c>
      <c r="D1" t="s">
        <v>92</v>
      </c>
      <c r="E1" t="s">
        <v>93</v>
      </c>
      <c r="F1" t="s">
        <v>94</v>
      </c>
    </row>
    <row r="2" spans="1:6" x14ac:dyDescent="0.3">
      <c r="A2" t="s">
        <v>15</v>
      </c>
      <c r="B2">
        <v>1</v>
      </c>
      <c r="C2" t="s">
        <v>95</v>
      </c>
      <c r="D2" s="6">
        <v>46030</v>
      </c>
      <c r="E2" t="s">
        <v>97</v>
      </c>
      <c r="F2" s="3">
        <v>100</v>
      </c>
    </row>
    <row r="3" spans="1:6" x14ac:dyDescent="0.3">
      <c r="A3" t="s">
        <v>23</v>
      </c>
      <c r="B3">
        <v>1</v>
      </c>
      <c r="C3" t="s">
        <v>96</v>
      </c>
      <c r="D3" s="6">
        <v>46030</v>
      </c>
      <c r="E3" t="s">
        <v>98</v>
      </c>
      <c r="F3" s="3">
        <v>25</v>
      </c>
    </row>
    <row r="4" spans="1:6" x14ac:dyDescent="0.3">
      <c r="A4" t="s">
        <v>23</v>
      </c>
      <c r="B4">
        <v>2</v>
      </c>
      <c r="C4" t="s">
        <v>95</v>
      </c>
      <c r="D4" s="5" t="s">
        <v>99</v>
      </c>
      <c r="E4" t="s">
        <v>97</v>
      </c>
      <c r="F4" s="3">
        <v>50</v>
      </c>
    </row>
    <row r="5" spans="1:6" x14ac:dyDescent="0.3">
      <c r="D5" s="5"/>
      <c r="F5" s="3"/>
    </row>
    <row r="6" spans="1:6" x14ac:dyDescent="0.3">
      <c r="D6" s="5"/>
      <c r="F6" s="3"/>
    </row>
    <row r="7" spans="1:6" x14ac:dyDescent="0.3">
      <c r="D7" s="5"/>
      <c r="F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7E97-1E36-4B44-81C9-16B45A069B46}">
  <dimension ref="A1:E7"/>
  <sheetViews>
    <sheetView tabSelected="1" workbookViewId="0">
      <selection activeCell="A2" sqref="A2"/>
    </sheetView>
  </sheetViews>
  <sheetFormatPr defaultRowHeight="14.4" x14ac:dyDescent="0.3"/>
  <cols>
    <col min="3" max="3" width="23.44140625" customWidth="1"/>
    <col min="4" max="4" width="9.5546875" bestFit="1" customWidth="1"/>
  </cols>
  <sheetData>
    <row r="1" spans="1:5" x14ac:dyDescent="0.3">
      <c r="A1" s="1" t="s">
        <v>1</v>
      </c>
      <c r="B1" t="s">
        <v>80</v>
      </c>
      <c r="C1" t="s">
        <v>100</v>
      </c>
      <c r="D1" t="s">
        <v>102</v>
      </c>
      <c r="E1" t="s">
        <v>94</v>
      </c>
    </row>
    <row r="2" spans="1:5" x14ac:dyDescent="0.3">
      <c r="A2" t="s">
        <v>15</v>
      </c>
      <c r="B2">
        <v>1</v>
      </c>
      <c r="C2" t="s">
        <v>103</v>
      </c>
      <c r="D2" s="6">
        <v>46303</v>
      </c>
      <c r="E2" s="3">
        <v>20</v>
      </c>
    </row>
    <row r="3" spans="1:5" x14ac:dyDescent="0.3">
      <c r="A3" t="s">
        <v>23</v>
      </c>
      <c r="B3">
        <v>1</v>
      </c>
      <c r="C3" t="s">
        <v>101</v>
      </c>
      <c r="D3" t="s">
        <v>98</v>
      </c>
      <c r="E3" s="3">
        <v>5</v>
      </c>
    </row>
    <row r="4" spans="1:5" x14ac:dyDescent="0.3">
      <c r="D4" s="5"/>
      <c r="E4" s="3"/>
    </row>
    <row r="5" spans="1:5" x14ac:dyDescent="0.3">
      <c r="D5" s="5"/>
      <c r="E5" s="3"/>
    </row>
    <row r="6" spans="1:5" x14ac:dyDescent="0.3">
      <c r="D6" s="5"/>
      <c r="E6" s="3"/>
    </row>
    <row r="7" spans="1:5" x14ac:dyDescent="0.3">
      <c r="D7" s="5"/>
      <c r="E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CallData</vt:lpstr>
      <vt:lpstr>UsageChrg</vt:lpstr>
      <vt:lpstr>MrcChrgs</vt:lpstr>
      <vt:lpstr>OthChrgs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Munish Sanan</dc:creator>
  <cp:keywords/>
  <dc:description/>
  <cp:lastModifiedBy>Munish Sanan</cp:lastModifiedBy>
  <cp:revision/>
  <dcterms:created xsi:type="dcterms:W3CDTF">2026-09-16T11:38:18Z</dcterms:created>
  <dcterms:modified xsi:type="dcterms:W3CDTF">2026-09-16T18:03:46Z</dcterms:modified>
  <cp:category/>
  <cp:contentStatus/>
</cp:coreProperties>
</file>